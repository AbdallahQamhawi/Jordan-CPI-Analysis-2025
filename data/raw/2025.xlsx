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942B5A-42A5-4E9A-BA0B-5EDB6E1AC2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" r:id="rId1"/>
  </sheets>
  <definedNames>
    <definedName name="_xlnm.Print_Area" localSheetId="0">'2025'!$A$1:$P$48</definedName>
    <definedName name="_xlnm.Print_Titles" localSheetId="0">'2025'!$1:$4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<sst xmlns="http://schemas.openxmlformats.org/spreadsheetml/2006/main" count="120" uniqueCount="120">
  <si>
    <r>
      <t xml:space="preserve">الأرقام القياسية الشهرية والتراكمية لأسعار المستهلك لعام </t>
    </r>
    <r>
      <rPr>
        <b/>
        <sz val="12"/>
        <rFont val="Calibri"/>
        <family val="2"/>
      </rPr>
      <t>2025 (2018=100)</t>
    </r>
  </si>
  <si>
    <r>
      <t xml:space="preserve">Monthly And cummulative Consumer Price Indices During </t>
    </r>
    <r>
      <rPr>
        <b/>
        <sz val="12"/>
        <rFont val="Calibri"/>
        <family val="2"/>
      </rPr>
      <t>2025 (2018=100)</t>
    </r>
  </si>
  <si>
    <t>مجموعـــــــــات الانفـــــــاق</t>
  </si>
  <si>
    <t>الاهمية النسبية</t>
  </si>
  <si>
    <t>كانون ثاني</t>
  </si>
  <si>
    <t>شباط</t>
  </si>
  <si>
    <t>اذار</t>
  </si>
  <si>
    <t>نيسان</t>
  </si>
  <si>
    <t>ايار</t>
  </si>
  <si>
    <t>حزيران</t>
  </si>
  <si>
    <t>تموز</t>
  </si>
  <si>
    <t>آب</t>
  </si>
  <si>
    <t>ايلول</t>
  </si>
  <si>
    <t>تشرين اول</t>
  </si>
  <si>
    <t>تشرين ثاني</t>
  </si>
  <si>
    <t>كانون اول</t>
  </si>
  <si>
    <t>المعدل</t>
  </si>
  <si>
    <t>Expenditure Groups</t>
  </si>
  <si>
    <t>Relative Imp.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</si>
  <si>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</si>
  <si>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</si>
  <si>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</si>
  <si>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</si>
  <si>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</si>
  <si>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</si>
  <si>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</si>
  <si>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</si>
  <si>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</si>
  <si>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</si>
  <si>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</si>
  <si>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</si>
  <si>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Average</t>
  </si>
  <si>
    <t>جميع المواد</t>
  </si>
  <si>
    <t xml:space="preserve"> All Items</t>
  </si>
  <si>
    <t>1) الاغذية والمشروبات غير الكحولية</t>
  </si>
  <si>
    <t>1)Food and non-Alcoholic Beverages</t>
  </si>
  <si>
    <t>الغذاء</t>
  </si>
  <si>
    <t>Food Items</t>
  </si>
  <si>
    <t xml:space="preserve"> الحبوب ومنتجاتها</t>
  </si>
  <si>
    <t>Cereals and Products</t>
  </si>
  <si>
    <t xml:space="preserve"> اللحوم والدواجن</t>
  </si>
  <si>
    <t>Meat and Poultry</t>
  </si>
  <si>
    <t xml:space="preserve"> الاسماك ومنتجات البحر</t>
  </si>
  <si>
    <t>Fish and Sea Products</t>
  </si>
  <si>
    <t xml:space="preserve"> الالبان ومنتجاتها والبيض</t>
  </si>
  <si>
    <t>Dairy Products and Eggs</t>
  </si>
  <si>
    <t xml:space="preserve"> الزيوت والدهون</t>
  </si>
  <si>
    <t>Oils and Fats</t>
  </si>
  <si>
    <t xml:space="preserve"> الفواكه والمكسرات</t>
  </si>
  <si>
    <t>Fruits and Nuts</t>
  </si>
  <si>
    <t xml:space="preserve"> الخضروات والبقول الجافة والمعلبة</t>
  </si>
  <si>
    <t>Vegetables and Legumes Dry and Canned</t>
  </si>
  <si>
    <t xml:space="preserve"> السكر ومنتجاته</t>
  </si>
  <si>
    <t>Sugar and its Products</t>
  </si>
  <si>
    <t xml:space="preserve"> التوابل ومحسنات الطعام والمأكولات الاخرى</t>
  </si>
  <si>
    <t>Spices and food additives, other food</t>
  </si>
  <si>
    <t>المشروبات غير الكحولية</t>
  </si>
  <si>
    <t>Non-alcoholic beverages</t>
  </si>
  <si>
    <t xml:space="preserve"> الشاي والبن والكاكاو</t>
  </si>
  <si>
    <t>Tea, Coffee and Cocoa</t>
  </si>
  <si>
    <t xml:space="preserve"> المشروبات والمرطبات</t>
  </si>
  <si>
    <t>Drinks and Refreshments</t>
  </si>
  <si>
    <t>2) المشروبات الكحولية والتبغ والسجائر</t>
  </si>
  <si>
    <t>2) Alcohol and Tobacco and Cigarettes</t>
  </si>
  <si>
    <t xml:space="preserve">المشروبات الكحولية </t>
  </si>
  <si>
    <t>Alcoholic beverages</t>
  </si>
  <si>
    <t>التبغ والسجائر</t>
  </si>
  <si>
    <t>Tobacco and Cigarettes</t>
  </si>
  <si>
    <t>3)  الملابس والاحذية</t>
  </si>
  <si>
    <t>3) Clothing and footwear</t>
  </si>
  <si>
    <t xml:space="preserve"> الملابس</t>
  </si>
  <si>
    <t>Clothing</t>
  </si>
  <si>
    <t xml:space="preserve"> الأحذية</t>
  </si>
  <si>
    <t>Footwear</t>
  </si>
  <si>
    <t xml:space="preserve"> 4) المساكن</t>
  </si>
  <si>
    <t xml:space="preserve"> 4) housing</t>
  </si>
  <si>
    <t xml:space="preserve"> الايجارات</t>
  </si>
  <si>
    <t>Rents</t>
  </si>
  <si>
    <t>خدمات صيانة المسكن</t>
  </si>
  <si>
    <t>Home maintenance services</t>
  </si>
  <si>
    <t>المياة والصرف الصحي</t>
  </si>
  <si>
    <t>Water and Sanitation</t>
  </si>
  <si>
    <t xml:space="preserve"> الوقود والانارة</t>
  </si>
  <si>
    <t>Fuels and Lighting</t>
  </si>
  <si>
    <t>5) التجهيزات والمعدات المنزلية</t>
  </si>
  <si>
    <t>5)Household Furnishings and Equipment</t>
  </si>
  <si>
    <t xml:space="preserve"> الاثاث والسجاد والمفارش</t>
  </si>
  <si>
    <t>Furniture, Rugs and Bedspreads</t>
  </si>
  <si>
    <t>المنسوجات البيتية</t>
  </si>
  <si>
    <t>Home Textiles</t>
  </si>
  <si>
    <t>الأجهزة المنزلية</t>
  </si>
  <si>
    <t>Household appliances</t>
  </si>
  <si>
    <t>الأدوات المنزلية</t>
  </si>
  <si>
    <t>Housewares</t>
  </si>
  <si>
    <t>الصيانة المنزلية</t>
  </si>
  <si>
    <t>Home Maintenance</t>
  </si>
  <si>
    <t>6) الصحة</t>
  </si>
  <si>
    <t>6) health</t>
  </si>
  <si>
    <t>7)  النقل</t>
  </si>
  <si>
    <t>7) Transportation</t>
  </si>
  <si>
    <t>8)  الاتصالات</t>
  </si>
  <si>
    <t>8) Communication</t>
  </si>
  <si>
    <t>9) الثقافة والترفية</t>
  </si>
  <si>
    <t>9) Culture and Recreation</t>
  </si>
  <si>
    <t>10)  التعليم</t>
  </si>
  <si>
    <t>10) Education</t>
  </si>
  <si>
    <t>11) المطاعم والفنادق</t>
  </si>
  <si>
    <t>11) Restaurants and Hotels</t>
  </si>
  <si>
    <t>12) السلع والخدمات الأخرى</t>
  </si>
  <si>
    <t>12) Other Goods and Services</t>
  </si>
  <si>
    <t>العناية الشخصية</t>
  </si>
  <si>
    <t>Personal Care</t>
  </si>
  <si>
    <t>الأمتعة الشخصية</t>
  </si>
  <si>
    <t>Personal Effects</t>
  </si>
  <si>
    <t>التأمين المتصل بالنقل</t>
  </si>
  <si>
    <t>Insurance connected with Transport</t>
  </si>
  <si>
    <t>المساهمة في النقابات</t>
  </si>
  <si>
    <t>Contribute to the Unions</t>
  </si>
  <si>
    <t>الخدمات الأخرى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</si>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</sst>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0"/>
      <name val="Arial"/>
    </font>
    <font>
      <b/>
      <sz val="14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indexed="18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name val="Arial"/>
      <family val="2"/>
    </font>
    <font>
      <b/>
      <sz val="14"/>
      <color indexed="16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164" fontId="5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164" fontId="5" fillId="2" borderId="5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 readingOrder="2"/>
    </xf>
    <xf numFmtId="164" fontId="6" fillId="0" borderId="5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9" fillId="2" borderId="0" xfId="0" applyFont="1" applyFill="1"/>
    <xf numFmtId="0" fontId="10" fillId="0" borderId="5" xfId="0" applyFont="1" applyBorder="1" applyAlignment="1">
      <alignment horizontal="right" vertical="center" wrapText="1" readingOrder="2"/>
    </xf>
    <xf numFmtId="2" fontId="6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2" fontId="9" fillId="2" borderId="0" xfId="0" applyNumberFormat="1" applyFont="1" applyFill="1"/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vertical="center"/>
    </xf>
    <xf numFmtId="0" fontId="4" fillId="0" borderId="5" xfId="0" applyFont="1" applyBorder="1" applyAlignment="1">
      <alignment horizontal="right" vertical="center" indent="1" readingOrder="2"/>
    </xf>
    <xf numFmtId="2" fontId="5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/>
    <xf numFmtId="164" fontId="2" fillId="2" borderId="0" xfId="0" applyNumberFormat="1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9"/>
  <sheetViews>
    <sheetView rightToLeft="1" tabSelected="1" zoomScale="55" zoomScaleNormal="55" workbookViewId="0">
      <pane xSplit="2" ySplit="4" topLeftCell="C5" activePane="bottomRight" state="frozen"/>
      <selection activeCell="S10" sqref="S10"/>
      <selection pane="topRight" activeCell="S10" sqref="S10"/>
      <selection pane="bottomLeft" activeCell="S10" sqref="S10"/>
      <selection pane="bottomRight" activeCell="P47" sqref="P47"/>
    </sheetView>
  </sheetViews>
  <sheetFormatPr defaultColWidth="9.1796875" defaultRowHeight="13" x14ac:dyDescent="0.3"/>
  <cols>
    <col min="1" max="1" width="34.1796875" style="24" customWidth="1"/>
    <col min="2" max="2" width="10.453125" style="24" customWidth="1"/>
    <col min="3" max="3" width="7.453125" style="24" bestFit="1" customWidth="1"/>
    <col min="4" max="4" width="7.1796875" style="24" bestFit="1" customWidth="1"/>
    <col min="5" max="5" width="8" style="24" customWidth="1"/>
    <col min="6" max="7" width="7.1796875" style="24" bestFit="1" customWidth="1"/>
    <col min="8" max="8" width="7.54296875" style="24" customWidth="1"/>
    <col min="9" max="11" width="7.1796875" style="24" bestFit="1" customWidth="1"/>
    <col min="12" max="12" width="7.1796875" style="24" customWidth="1"/>
    <col min="13" max="13" width="7.1796875" style="24" bestFit="1" customWidth="1"/>
    <col min="14" max="14" width="7.26953125" style="24" bestFit="1" customWidth="1"/>
    <col min="15" max="15" width="10" style="24" bestFit="1" customWidth="1"/>
    <col min="16" max="16" width="33.26953125" style="1" customWidth="1"/>
    <col min="17" max="21" width="9.1796875" style="1"/>
    <col min="22" max="22" width="12.54296875" style="1" bestFit="1" customWidth="1"/>
    <col min="23" max="16384" width="9.1796875" style="1"/>
  </cols>
  <sheetData>
    <row r="1" spans="1:22" ht="18.5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22" ht="19" thickBot="1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22" s="4" customFormat="1" ht="29.25" customHeight="1" thickTop="1" x14ac:dyDescent="0.25">
      <c r="A3" s="27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  <c r="P3" s="29" t="s">
        <v>17</v>
      </c>
    </row>
    <row r="4" spans="1:22" s="4" customFormat="1" ht="28.5" customHeight="1" x14ac:dyDescent="0.25">
      <c r="A4" s="28"/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6" t="s">
        <v>31</v>
      </c>
      <c r="P4" s="30"/>
    </row>
    <row r="5" spans="1:22" s="12" customFormat="1" ht="18.5" x14ac:dyDescent="0.3">
      <c r="A5" s="7" t="s">
        <v>32</v>
      </c>
      <c r="B5" s="8">
        <v>100</v>
      </c>
      <c r="C5" s="9">
        <v>112.2347735636483</v>
      </c>
      <c r="D5" s="9">
        <v>112.35888320845176</v>
      </c>
      <c r="E5" s="9">
        <v>112.42512728408813</v>
      </c>
      <c r="F5" s="9">
        <v>112.52667832630635</v>
      </c>
      <c r="G5" s="9">
        <v>112.76609381083311</v>
      </c>
      <c r="H5" s="9">
        <v>112.98238286270151</v>
      </c>
      <c r="I5" s="9">
        <v>112.86880423413595</v>
      </c>
      <c r="J5" s="9">
        <v>112.63246641613986</v>
      </c>
      <c r="K5" s="9">
        <v>112.738584124499</v>
      </c>
      <c r="L5" s="9">
        <v>112.819669338286</v>
      </c>
      <c r="M5" s="9">
        <v>112.464829795659</v>
      </c>
      <c r="N5" s="10">
        <v>113.22499190922601</v>
      </c>
      <c r="O5" s="9">
        <f>AVERAGE(C5:N5)</f>
        <v>112.67027373949792</v>
      </c>
      <c r="P5" s="11" t="s">
        <v>33</v>
      </c>
    </row>
    <row r="6" spans="1:22" s="12" customFormat="1" ht="18.5" x14ac:dyDescent="0.3">
      <c r="A6" s="13" t="s">
        <v>34</v>
      </c>
      <c r="B6" s="14">
        <v>26.523946861454085</v>
      </c>
      <c r="C6" s="9">
        <v>109.87634623669774</v>
      </c>
      <c r="D6" s="9">
        <v>109.7512044446495</v>
      </c>
      <c r="E6" s="9">
        <v>109.63960443922662</v>
      </c>
      <c r="F6" s="9">
        <v>110.62356695587972</v>
      </c>
      <c r="G6" s="9">
        <v>111.54121017620587</v>
      </c>
      <c r="H6" s="9">
        <v>111.21824282280491</v>
      </c>
      <c r="I6" s="9">
        <v>109.94961367816286</v>
      </c>
      <c r="J6" s="9">
        <v>109.18231336930529</v>
      </c>
      <c r="K6" s="9">
        <v>109.596942347219</v>
      </c>
      <c r="L6" s="9">
        <v>109.025624648326</v>
      </c>
      <c r="M6" s="9">
        <v>107.954550153862</v>
      </c>
      <c r="N6" s="10">
        <v>108.521591691271</v>
      </c>
      <c r="O6" s="9">
        <f t="shared" ref="O6:O48" si="0">AVERAGE(C6:N6)</f>
        <v>109.74006758030087</v>
      </c>
      <c r="P6" s="15" t="s">
        <v>35</v>
      </c>
      <c r="S6" s="16"/>
      <c r="V6" s="16"/>
    </row>
    <row r="7" spans="1:22" ht="18.5" x14ac:dyDescent="0.25">
      <c r="A7" s="17" t="s">
        <v>36</v>
      </c>
      <c r="B7" s="14">
        <v>23.796408799524237</v>
      </c>
      <c r="C7" s="9">
        <v>110.5183943959094</v>
      </c>
      <c r="D7" s="9">
        <v>110.34024844389522</v>
      </c>
      <c r="E7" s="9">
        <v>110.29186148987624</v>
      </c>
      <c r="F7" s="9">
        <v>111.11865774972844</v>
      </c>
      <c r="G7" s="9">
        <v>112.07235824022064</v>
      </c>
      <c r="H7" s="9">
        <v>111.68756024968306</v>
      </c>
      <c r="I7" s="9">
        <v>110.24506552127055</v>
      </c>
      <c r="J7" s="9">
        <v>109.34798204153419</v>
      </c>
      <c r="K7" s="9">
        <v>109.732480330494</v>
      </c>
      <c r="L7" s="9">
        <v>109.026661761238</v>
      </c>
      <c r="M7" s="9">
        <v>107.791683676811</v>
      </c>
      <c r="N7" s="10">
        <v>108.39726017901999</v>
      </c>
      <c r="O7" s="9">
        <f t="shared" si="0"/>
        <v>110.04751783997341</v>
      </c>
      <c r="P7" s="18" t="s">
        <v>37</v>
      </c>
    </row>
    <row r="8" spans="1:22" ht="18.5" x14ac:dyDescent="0.25">
      <c r="A8" s="19" t="s">
        <v>38</v>
      </c>
      <c r="B8" s="14">
        <v>4.1713184452305914</v>
      </c>
      <c r="C8" s="20">
        <v>118.84187256053579</v>
      </c>
      <c r="D8" s="20">
        <v>118.72595351663568</v>
      </c>
      <c r="E8" s="20">
        <v>118.69433469359728</v>
      </c>
      <c r="F8" s="20">
        <v>118.59574665444684</v>
      </c>
      <c r="G8" s="20">
        <v>118.57037603818509</v>
      </c>
      <c r="H8" s="20">
        <v>118.42167055718383</v>
      </c>
      <c r="I8" s="20">
        <v>118.37269687091734</v>
      </c>
      <c r="J8" s="20">
        <v>118.41961224972593</v>
      </c>
      <c r="K8" s="20">
        <v>118.394563638037</v>
      </c>
      <c r="L8" s="20">
        <v>118.390115884282</v>
      </c>
      <c r="M8" s="20">
        <v>118.341967430895</v>
      </c>
      <c r="N8" s="10">
        <v>117.88917855394099</v>
      </c>
      <c r="O8" s="20">
        <f t="shared" si="0"/>
        <v>118.47150738736525</v>
      </c>
      <c r="P8" s="21" t="s">
        <v>39</v>
      </c>
    </row>
    <row r="9" spans="1:22" ht="18.5" x14ac:dyDescent="0.25">
      <c r="A9" s="19" t="s">
        <v>40</v>
      </c>
      <c r="B9" s="14">
        <v>4.6862936296586089</v>
      </c>
      <c r="C9" s="20">
        <v>119.32960007733617</v>
      </c>
      <c r="D9" s="20">
        <v>120.48750559133512</v>
      </c>
      <c r="E9" s="20">
        <v>119.30125805025494</v>
      </c>
      <c r="F9" s="20">
        <v>117.71864924391944</v>
      </c>
      <c r="G9" s="20">
        <v>122.37152819801341</v>
      </c>
      <c r="H9" s="20">
        <v>123.56902321975662</v>
      </c>
      <c r="I9" s="20">
        <v>118.46330393466445</v>
      </c>
      <c r="J9" s="20">
        <v>114.44943993040431</v>
      </c>
      <c r="K9" s="20">
        <v>110.79430766895101</v>
      </c>
      <c r="L9" s="20">
        <v>104.947665765848</v>
      </c>
      <c r="M9" s="20">
        <v>102.68676232880399</v>
      </c>
      <c r="N9" s="10">
        <v>106.599220237186</v>
      </c>
      <c r="O9" s="20">
        <f t="shared" si="0"/>
        <v>115.05985535387282</v>
      </c>
      <c r="P9" s="21" t="s">
        <v>41</v>
      </c>
    </row>
    <row r="10" spans="1:22" ht="18.5" x14ac:dyDescent="0.25">
      <c r="A10" s="19" t="s">
        <v>42</v>
      </c>
      <c r="B10" s="14">
        <v>0.41400370788454277</v>
      </c>
      <c r="C10" s="20">
        <v>103.7020768043738</v>
      </c>
      <c r="D10" s="20">
        <v>104.75630826913304</v>
      </c>
      <c r="E10" s="20">
        <v>105.73603993748077</v>
      </c>
      <c r="F10" s="20">
        <v>105.04096631266428</v>
      </c>
      <c r="G10" s="20">
        <v>103.47046116610819</v>
      </c>
      <c r="H10" s="20">
        <v>103.77179009335728</v>
      </c>
      <c r="I10" s="20">
        <v>103.34893358929202</v>
      </c>
      <c r="J10" s="20">
        <v>103.001812423248</v>
      </c>
      <c r="K10" s="20">
        <v>102.30696852757799</v>
      </c>
      <c r="L10" s="20">
        <v>105.35706021706</v>
      </c>
      <c r="M10" s="20">
        <v>105.243654142636</v>
      </c>
      <c r="N10" s="10">
        <v>104.872449964016</v>
      </c>
      <c r="O10" s="20">
        <f t="shared" si="0"/>
        <v>104.2173767872456</v>
      </c>
      <c r="P10" s="21" t="s">
        <v>43</v>
      </c>
    </row>
    <row r="11" spans="1:22" ht="18.5" x14ac:dyDescent="0.25">
      <c r="A11" s="19" t="s">
        <v>44</v>
      </c>
      <c r="B11" s="14">
        <v>3.7200765657810746</v>
      </c>
      <c r="C11" s="20">
        <v>111.54287351253367</v>
      </c>
      <c r="D11" s="20">
        <v>111.62630529132852</v>
      </c>
      <c r="E11" s="20">
        <v>111.01128629137759</v>
      </c>
      <c r="F11" s="20">
        <v>110.55037027988115</v>
      </c>
      <c r="G11" s="20">
        <v>111.34055347136882</v>
      </c>
      <c r="H11" s="20">
        <v>111.62862202276945</v>
      </c>
      <c r="I11" s="20">
        <v>111.5230474577843</v>
      </c>
      <c r="J11" s="20">
        <v>111.52716300793338</v>
      </c>
      <c r="K11" s="20">
        <v>111.657077383755</v>
      </c>
      <c r="L11" s="20">
        <v>111.74265131001999</v>
      </c>
      <c r="M11" s="20">
        <v>111.86623303659201</v>
      </c>
      <c r="N11" s="10">
        <v>111.69900964378</v>
      </c>
      <c r="O11" s="20">
        <f t="shared" si="0"/>
        <v>111.47626605909365</v>
      </c>
      <c r="P11" s="21" t="s">
        <v>45</v>
      </c>
    </row>
    <row r="12" spans="1:22" ht="18.5" x14ac:dyDescent="0.25">
      <c r="A12" s="19" t="s">
        <v>46</v>
      </c>
      <c r="B12" s="14">
        <v>1.6969505246227596</v>
      </c>
      <c r="C12" s="20">
        <v>117.48855135259622</v>
      </c>
      <c r="D12" s="20">
        <v>117.33565497220042</v>
      </c>
      <c r="E12" s="20">
        <v>117.18264417952493</v>
      </c>
      <c r="F12" s="20">
        <v>117.68960971351345</v>
      </c>
      <c r="G12" s="20">
        <v>117.50714980157053</v>
      </c>
      <c r="H12" s="20">
        <v>117.68681837614753</v>
      </c>
      <c r="I12" s="20">
        <v>117.57513717588783</v>
      </c>
      <c r="J12" s="20">
        <v>117.7385942195871</v>
      </c>
      <c r="K12" s="20">
        <v>118.031461203769</v>
      </c>
      <c r="L12" s="20">
        <v>125.029057734549</v>
      </c>
      <c r="M12" s="20">
        <v>129.29662851664901</v>
      </c>
      <c r="N12" s="10">
        <v>132.226167392565</v>
      </c>
      <c r="O12" s="20">
        <f t="shared" si="0"/>
        <v>120.39895621987999</v>
      </c>
      <c r="P12" s="21" t="s">
        <v>47</v>
      </c>
    </row>
    <row r="13" spans="1:22" ht="18.5" x14ac:dyDescent="0.25">
      <c r="A13" s="19" t="s">
        <v>48</v>
      </c>
      <c r="B13" s="14">
        <v>2.5668373845766457</v>
      </c>
      <c r="C13" s="20">
        <v>99.925748693438649</v>
      </c>
      <c r="D13" s="20">
        <v>100.26343193693195</v>
      </c>
      <c r="E13" s="20">
        <v>103.71359570002903</v>
      </c>
      <c r="F13" s="20">
        <v>113.49416128248018</v>
      </c>
      <c r="G13" s="20">
        <v>116.74190952769882</v>
      </c>
      <c r="H13" s="20">
        <v>114.07946923068349</v>
      </c>
      <c r="I13" s="20">
        <v>111.53854596366881</v>
      </c>
      <c r="J13" s="20">
        <v>106.05462727089281</v>
      </c>
      <c r="K13" s="20">
        <v>106.52072109994</v>
      </c>
      <c r="L13" s="20">
        <v>105.677719018302</v>
      </c>
      <c r="M13" s="20">
        <v>104.914530359333</v>
      </c>
      <c r="N13" s="10">
        <v>104.74651547850399</v>
      </c>
      <c r="O13" s="20">
        <f t="shared" si="0"/>
        <v>107.30591463015855</v>
      </c>
      <c r="P13" s="21" t="s">
        <v>49</v>
      </c>
    </row>
    <row r="14" spans="1:22" ht="18.5" x14ac:dyDescent="0.25">
      <c r="A14" s="19" t="s">
        <v>50</v>
      </c>
      <c r="B14" s="14">
        <v>2.9622590463987617</v>
      </c>
      <c r="C14" s="20">
        <v>90.501230912924512</v>
      </c>
      <c r="D14" s="20">
        <v>87.412908127897552</v>
      </c>
      <c r="E14" s="20">
        <v>87.763357321282541</v>
      </c>
      <c r="F14" s="20">
        <v>88.702476653358474</v>
      </c>
      <c r="G14" s="20">
        <v>86.632245615438009</v>
      </c>
      <c r="H14" s="20">
        <v>84.837704743400451</v>
      </c>
      <c r="I14" s="20">
        <v>83.385186465914643</v>
      </c>
      <c r="J14" s="20">
        <v>85.970891458003365</v>
      </c>
      <c r="K14" s="20">
        <v>92.538391615558893</v>
      </c>
      <c r="L14" s="20">
        <v>92.446683576001107</v>
      </c>
      <c r="M14" s="20">
        <v>85.714484650696804</v>
      </c>
      <c r="N14" s="10">
        <v>83.282923915877106</v>
      </c>
      <c r="O14" s="20">
        <f t="shared" si="0"/>
        <v>87.43237375469613</v>
      </c>
      <c r="P14" s="21" t="s">
        <v>51</v>
      </c>
    </row>
    <row r="15" spans="1:22" ht="18.5" x14ac:dyDescent="0.25">
      <c r="A15" s="19" t="s">
        <v>52</v>
      </c>
      <c r="B15" s="14">
        <v>2.3130931564670227</v>
      </c>
      <c r="C15" s="20">
        <v>113.62275697026008</v>
      </c>
      <c r="D15" s="20">
        <v>113.71678829491658</v>
      </c>
      <c r="E15" s="20">
        <v>112.17355132490682</v>
      </c>
      <c r="F15" s="20">
        <v>112.12153371924867</v>
      </c>
      <c r="G15" s="20">
        <v>112.04173032300584</v>
      </c>
      <c r="H15" s="20">
        <v>111.14549417031664</v>
      </c>
      <c r="I15" s="20">
        <v>111.1131186218277</v>
      </c>
      <c r="J15" s="20">
        <v>111.22038915643434</v>
      </c>
      <c r="K15" s="20">
        <v>111.198913789423</v>
      </c>
      <c r="L15" s="20">
        <v>111.43894752790101</v>
      </c>
      <c r="M15" s="20">
        <v>111.75124465499999</v>
      </c>
      <c r="N15" s="10">
        <v>113.198333684956</v>
      </c>
      <c r="O15" s="20">
        <f t="shared" si="0"/>
        <v>112.06190018651637</v>
      </c>
      <c r="P15" s="21" t="s">
        <v>53</v>
      </c>
    </row>
    <row r="16" spans="1:22" ht="18.5" x14ac:dyDescent="0.25">
      <c r="A16" s="19" t="s">
        <v>54</v>
      </c>
      <c r="B16" s="14">
        <v>1.2655763389042272</v>
      </c>
      <c r="C16" s="20">
        <v>106.96533430921085</v>
      </c>
      <c r="D16" s="20">
        <v>107.39978423214112</v>
      </c>
      <c r="E16" s="20">
        <v>107.23330968482956</v>
      </c>
      <c r="F16" s="20">
        <v>107.55585631580998</v>
      </c>
      <c r="G16" s="20">
        <v>107.7429243451157</v>
      </c>
      <c r="H16" s="20">
        <v>107.83726909462457</v>
      </c>
      <c r="I16" s="20">
        <v>108.35722582696714</v>
      </c>
      <c r="J16" s="20">
        <v>108.73185688525705</v>
      </c>
      <c r="K16" s="20">
        <v>109.097285578181</v>
      </c>
      <c r="L16" s="20">
        <v>109.650198034249</v>
      </c>
      <c r="M16" s="20">
        <v>110.179492066745</v>
      </c>
      <c r="N16" s="10">
        <v>110.396630094326</v>
      </c>
      <c r="O16" s="20">
        <f t="shared" si="0"/>
        <v>108.42893053895473</v>
      </c>
      <c r="P16" s="21" t="s">
        <v>55</v>
      </c>
    </row>
    <row r="17" spans="1:16" ht="18.5" x14ac:dyDescent="0.25">
      <c r="A17" s="17" t="s">
        <v>56</v>
      </c>
      <c r="B17" s="14">
        <v>2.7275380619298444</v>
      </c>
      <c r="C17" s="9">
        <v>104.52176580651842</v>
      </c>
      <c r="D17" s="9">
        <v>104.82813463638875</v>
      </c>
      <c r="E17" s="9">
        <v>104.20188381525413</v>
      </c>
      <c r="F17" s="9">
        <v>106.47752777550332</v>
      </c>
      <c r="G17" s="9">
        <v>107.09577454553411</v>
      </c>
      <c r="H17" s="9">
        <v>107.28615736587855</v>
      </c>
      <c r="I17" s="9">
        <v>107.47873457324702</v>
      </c>
      <c r="J17" s="9">
        <v>107.81627942356005</v>
      </c>
      <c r="K17" s="9">
        <v>108.489968365674</v>
      </c>
      <c r="L17" s="9">
        <v>109.082458569224</v>
      </c>
      <c r="M17" s="9">
        <v>109.449037864703</v>
      </c>
      <c r="N17" s="10">
        <v>109.675984166522</v>
      </c>
      <c r="O17" s="9">
        <f t="shared" si="0"/>
        <v>107.20030890900063</v>
      </c>
      <c r="P17" s="18" t="s">
        <v>57</v>
      </c>
    </row>
    <row r="18" spans="1:16" ht="18.5" x14ac:dyDescent="0.25">
      <c r="A18" s="19" t="s">
        <v>58</v>
      </c>
      <c r="B18" s="22">
        <v>1.2121289578681687</v>
      </c>
      <c r="C18" s="20">
        <v>110.72280940518851</v>
      </c>
      <c r="D18" s="20">
        <v>110.69806625947611</v>
      </c>
      <c r="E18" s="20">
        <v>110.83714633362486</v>
      </c>
      <c r="F18" s="20">
        <v>116.08479354885111</v>
      </c>
      <c r="G18" s="20">
        <v>117.68196004091006</v>
      </c>
      <c r="H18" s="20">
        <v>117.99639024118244</v>
      </c>
      <c r="I18" s="20">
        <v>118.75299626172085</v>
      </c>
      <c r="J18" s="20">
        <v>119.58872779501846</v>
      </c>
      <c r="K18" s="20">
        <v>121.285732655836</v>
      </c>
      <c r="L18" s="20">
        <v>122.78280532929899</v>
      </c>
      <c r="M18" s="20">
        <v>123.718354721575</v>
      </c>
      <c r="N18" s="10">
        <v>124.289214457981</v>
      </c>
      <c r="O18" s="20">
        <f t="shared" si="0"/>
        <v>117.86991642088861</v>
      </c>
      <c r="P18" s="21" t="s">
        <v>59</v>
      </c>
    </row>
    <row r="19" spans="1:16" ht="18.5" x14ac:dyDescent="0.25">
      <c r="A19" s="19" t="s">
        <v>60</v>
      </c>
      <c r="B19" s="22">
        <v>1.5154091040616757</v>
      </c>
      <c r="C19" s="20">
        <v>99.596324101273055</v>
      </c>
      <c r="D19" s="20">
        <v>100.14027875251659</v>
      </c>
      <c r="E19" s="20">
        <v>98.966645411826462</v>
      </c>
      <c r="F19" s="20">
        <v>99.153158307953561</v>
      </c>
      <c r="G19" s="20">
        <v>99.102641597635426</v>
      </c>
      <c r="H19" s="20">
        <v>99.207991404412041</v>
      </c>
      <c r="I19" s="20">
        <v>99.021196930326894</v>
      </c>
      <c r="J19" s="20">
        <v>99.024598392171669</v>
      </c>
      <c r="K19" s="20">
        <v>99.018739932086802</v>
      </c>
      <c r="L19" s="20">
        <v>99.017764650573397</v>
      </c>
      <c r="M19" s="20">
        <v>99.014487987522202</v>
      </c>
      <c r="N19" s="10">
        <v>99.019039611208498</v>
      </c>
      <c r="O19" s="20">
        <f t="shared" si="0"/>
        <v>99.190238923292213</v>
      </c>
      <c r="P19" s="21" t="s">
        <v>61</v>
      </c>
    </row>
    <row r="20" spans="1:16" ht="37" x14ac:dyDescent="0.25">
      <c r="A20" s="13" t="s">
        <v>62</v>
      </c>
      <c r="B20" s="14">
        <v>4.374210525068694</v>
      </c>
      <c r="C20" s="9">
        <v>123.23922853453595</v>
      </c>
      <c r="D20" s="9">
        <v>123.23922853453595</v>
      </c>
      <c r="E20" s="9">
        <v>123.23922853453595</v>
      </c>
      <c r="F20" s="9">
        <v>123.23922853453595</v>
      </c>
      <c r="G20" s="9">
        <v>123.23922853453595</v>
      </c>
      <c r="H20" s="9">
        <v>123.23922853453595</v>
      </c>
      <c r="I20" s="9">
        <v>123.23922853453595</v>
      </c>
      <c r="J20" s="9">
        <v>123.24069935295431</v>
      </c>
      <c r="K20" s="9">
        <v>123.253354647423</v>
      </c>
      <c r="L20" s="9">
        <v>123.253354647423</v>
      </c>
      <c r="M20" s="9">
        <v>123.25349096391901</v>
      </c>
      <c r="N20" s="10">
        <v>123.254944021968</v>
      </c>
      <c r="O20" s="9">
        <f t="shared" si="0"/>
        <v>123.24420361461991</v>
      </c>
      <c r="P20" s="15" t="s">
        <v>63</v>
      </c>
    </row>
    <row r="21" spans="1:16" ht="18.5" x14ac:dyDescent="0.25">
      <c r="A21" s="19" t="s">
        <v>64</v>
      </c>
      <c r="B21" s="22">
        <v>7.7031610469503412E-3</v>
      </c>
      <c r="C21" s="20">
        <v>122.21224377840133</v>
      </c>
      <c r="D21" s="20">
        <v>122.21224377840133</v>
      </c>
      <c r="E21" s="20">
        <v>122.21224377840133</v>
      </c>
      <c r="F21" s="20">
        <v>122.21224377840133</v>
      </c>
      <c r="G21" s="20">
        <v>122.21224377840133</v>
      </c>
      <c r="H21" s="20">
        <v>122.21224377840133</v>
      </c>
      <c r="I21" s="20">
        <v>122.21224377840133</v>
      </c>
      <c r="J21" s="20">
        <v>122.21224377840133</v>
      </c>
      <c r="K21" s="20">
        <v>122.212243778401</v>
      </c>
      <c r="L21" s="20">
        <v>122.212243778401</v>
      </c>
      <c r="M21" s="20">
        <v>122.212243778401</v>
      </c>
      <c r="N21" s="10">
        <v>122.212243778401</v>
      </c>
      <c r="O21" s="20">
        <f t="shared" si="0"/>
        <v>122.21224377840122</v>
      </c>
      <c r="P21" s="21" t="s">
        <v>65</v>
      </c>
    </row>
    <row r="22" spans="1:16" ht="18.5" x14ac:dyDescent="0.25">
      <c r="A22" s="19" t="s">
        <v>66</v>
      </c>
      <c r="B22" s="22">
        <v>4.3665073640217438</v>
      </c>
      <c r="C22" s="20">
        <v>123.25021396772495</v>
      </c>
      <c r="D22" s="20">
        <v>123.25021396772495</v>
      </c>
      <c r="E22" s="20">
        <v>123.25021396772495</v>
      </c>
      <c r="F22" s="20">
        <v>123.25021396772495</v>
      </c>
      <c r="G22" s="20">
        <v>123.25021396772495</v>
      </c>
      <c r="H22" s="20">
        <v>123.25021396772495</v>
      </c>
      <c r="I22" s="20">
        <v>123.25021396772495</v>
      </c>
      <c r="J22" s="20">
        <v>123.25168824318709</v>
      </c>
      <c r="K22" s="20">
        <v>123.264373284581</v>
      </c>
      <c r="L22" s="20">
        <v>123.264373284581</v>
      </c>
      <c r="M22" s="20">
        <v>123.264509921512</v>
      </c>
      <c r="N22" s="10">
        <v>123.26596639524099</v>
      </c>
      <c r="O22" s="20">
        <f t="shared" si="0"/>
        <v>123.2552007419314</v>
      </c>
      <c r="P22" s="21" t="s">
        <v>67</v>
      </c>
    </row>
    <row r="23" spans="1:16" s="12" customFormat="1" ht="18.5" x14ac:dyDescent="0.3">
      <c r="A23" s="13" t="s">
        <v>68</v>
      </c>
      <c r="B23" s="14">
        <v>4.1154756285815512</v>
      </c>
      <c r="C23" s="9">
        <v>94.486426307701265</v>
      </c>
      <c r="D23" s="9">
        <v>94.331813396933484</v>
      </c>
      <c r="E23" s="9">
        <v>96.108355858547966</v>
      </c>
      <c r="F23" s="9">
        <v>95.431017383760391</v>
      </c>
      <c r="G23" s="9">
        <v>96.648357250717638</v>
      </c>
      <c r="H23" s="9">
        <v>96.74959144225663</v>
      </c>
      <c r="I23" s="9">
        <v>96.775234080972837</v>
      </c>
      <c r="J23" s="9">
        <v>96.753323977381029</v>
      </c>
      <c r="K23" s="9">
        <v>94.971571495759207</v>
      </c>
      <c r="L23" s="9">
        <v>95.879024927156394</v>
      </c>
      <c r="M23" s="9">
        <v>95.799514018085603</v>
      </c>
      <c r="N23" s="10">
        <v>95.7178973735043</v>
      </c>
      <c r="O23" s="9">
        <f t="shared" si="0"/>
        <v>95.804343959398054</v>
      </c>
      <c r="P23" s="15" t="s">
        <v>69</v>
      </c>
    </row>
    <row r="24" spans="1:16" ht="18.5" x14ac:dyDescent="0.25">
      <c r="A24" s="19" t="s">
        <v>70</v>
      </c>
      <c r="B24" s="22">
        <v>3.406993936885319</v>
      </c>
      <c r="C24" s="20">
        <v>93.428427726854522</v>
      </c>
      <c r="D24" s="20">
        <v>93.288052419453578</v>
      </c>
      <c r="E24" s="20">
        <v>95.104085813546263</v>
      </c>
      <c r="F24" s="20">
        <v>94.332168589049559</v>
      </c>
      <c r="G24" s="20">
        <v>95.755484915827182</v>
      </c>
      <c r="H24" s="20">
        <v>95.876654148657309</v>
      </c>
      <c r="I24" s="20">
        <v>95.897354194884102</v>
      </c>
      <c r="J24" s="20">
        <v>95.866864874660024</v>
      </c>
      <c r="K24" s="20">
        <v>93.808402229505106</v>
      </c>
      <c r="L24" s="20">
        <v>94.836858639479303</v>
      </c>
      <c r="M24" s="20">
        <v>94.748434497156694</v>
      </c>
      <c r="N24" s="10">
        <v>94.661060162399707</v>
      </c>
      <c r="O24" s="20">
        <f t="shared" si="0"/>
        <v>94.800320684289431</v>
      </c>
      <c r="P24" s="21" t="s">
        <v>71</v>
      </c>
    </row>
    <row r="25" spans="1:16" ht="18.5" x14ac:dyDescent="0.25">
      <c r="A25" s="19" t="s">
        <v>72</v>
      </c>
      <c r="B25" s="22">
        <v>0.7084816916962321</v>
      </c>
      <c r="C25" s="20">
        <v>99.654915199187201</v>
      </c>
      <c r="D25" s="20">
        <v>99.42772036100412</v>
      </c>
      <c r="E25" s="20">
        <v>100.99762614752839</v>
      </c>
      <c r="F25" s="20">
        <v>100.80660333062262</v>
      </c>
      <c r="G25" s="20">
        <v>100.96950748930799</v>
      </c>
      <c r="H25" s="20">
        <v>100.96950748930799</v>
      </c>
      <c r="I25" s="20">
        <v>101.02013109385456</v>
      </c>
      <c r="J25" s="20">
        <v>101.04173879613262</v>
      </c>
      <c r="K25" s="20">
        <v>100.679773142125</v>
      </c>
      <c r="L25" s="20">
        <v>100.96265167865801</v>
      </c>
      <c r="M25" s="20">
        <v>100.928995696934</v>
      </c>
      <c r="N25" s="10">
        <v>100.877097114055</v>
      </c>
      <c r="O25" s="20">
        <f t="shared" si="0"/>
        <v>100.69468896155979</v>
      </c>
      <c r="P25" s="21" t="s">
        <v>73</v>
      </c>
    </row>
    <row r="26" spans="1:16" ht="18.5" x14ac:dyDescent="0.25">
      <c r="A26" s="13" t="s">
        <v>74</v>
      </c>
      <c r="B26" s="14">
        <v>23.776299101712564</v>
      </c>
      <c r="C26" s="9">
        <v>118.12309390852977</v>
      </c>
      <c r="D26" s="9">
        <v>118.23114974358272</v>
      </c>
      <c r="E26" s="9">
        <v>118.18789264944246</v>
      </c>
      <c r="F26" s="9">
        <v>118.07580460852465</v>
      </c>
      <c r="G26" s="9">
        <v>117.96198043409706</v>
      </c>
      <c r="H26" s="9">
        <v>118.99540323345198</v>
      </c>
      <c r="I26" s="9">
        <v>119.11586058427957</v>
      </c>
      <c r="J26" s="9">
        <v>119.18764473672107</v>
      </c>
      <c r="K26" s="9">
        <v>119.107126188137</v>
      </c>
      <c r="L26" s="9">
        <v>119.154765341898</v>
      </c>
      <c r="M26" s="9">
        <v>119.15148456380599</v>
      </c>
      <c r="N26" s="10">
        <v>121.505287434849</v>
      </c>
      <c r="O26" s="9">
        <f t="shared" si="0"/>
        <v>118.89979111894326</v>
      </c>
      <c r="P26" s="15" t="s">
        <v>75</v>
      </c>
    </row>
    <row r="27" spans="1:16" ht="18.5" x14ac:dyDescent="0.25">
      <c r="A27" s="19" t="s">
        <v>76</v>
      </c>
      <c r="B27" s="22">
        <v>17.541227123690721</v>
      </c>
      <c r="C27" s="20">
        <v>118.12345827980913</v>
      </c>
      <c r="D27" s="20">
        <v>118.12345827980913</v>
      </c>
      <c r="E27" s="20">
        <v>118.12345827980913</v>
      </c>
      <c r="F27" s="20">
        <v>118.12345827980913</v>
      </c>
      <c r="G27" s="20">
        <v>118.12345827980913</v>
      </c>
      <c r="H27" s="20">
        <v>119.59161555405751</v>
      </c>
      <c r="I27" s="20">
        <v>119.59161555405751</v>
      </c>
      <c r="J27" s="20">
        <v>119.59161555405751</v>
      </c>
      <c r="K27" s="20">
        <v>119.591615554057</v>
      </c>
      <c r="L27" s="20">
        <v>119.591615554057</v>
      </c>
      <c r="M27" s="20">
        <v>119.591615554057</v>
      </c>
      <c r="N27" s="10">
        <v>122.704208201439</v>
      </c>
      <c r="O27" s="20">
        <f t="shared" si="0"/>
        <v>119.23926607706902</v>
      </c>
      <c r="P27" s="21" t="s">
        <v>77</v>
      </c>
    </row>
    <row r="28" spans="1:16" ht="18.5" x14ac:dyDescent="0.25">
      <c r="A28" s="19" t="s">
        <v>78</v>
      </c>
      <c r="B28" s="22">
        <v>0.66158388890295039</v>
      </c>
      <c r="C28" s="20">
        <v>114.64631833856058</v>
      </c>
      <c r="D28" s="20">
        <v>114.59142359520038</v>
      </c>
      <c r="E28" s="20">
        <v>114.59142359520038</v>
      </c>
      <c r="F28" s="20">
        <v>114.53959688121499</v>
      </c>
      <c r="G28" s="20">
        <v>114.45494891453336</v>
      </c>
      <c r="H28" s="20">
        <v>114.47603158209117</v>
      </c>
      <c r="I28" s="20">
        <v>114.45682972505901</v>
      </c>
      <c r="J28" s="20">
        <v>114.47314610508045</v>
      </c>
      <c r="K28" s="20">
        <v>114.000345690017</v>
      </c>
      <c r="L28" s="20">
        <v>114.090338772039</v>
      </c>
      <c r="M28" s="20">
        <v>113.807131609579</v>
      </c>
      <c r="N28" s="10">
        <v>113.770609839648</v>
      </c>
      <c r="O28" s="20">
        <f t="shared" si="0"/>
        <v>114.32484538735196</v>
      </c>
      <c r="P28" s="21" t="s">
        <v>79</v>
      </c>
    </row>
    <row r="29" spans="1:16" ht="18.5" x14ac:dyDescent="0.25">
      <c r="A29" s="19" t="s">
        <v>80</v>
      </c>
      <c r="B29" s="22">
        <v>0.88036887541251696</v>
      </c>
      <c r="C29" s="20">
        <v>111.78964098751328</v>
      </c>
      <c r="D29" s="20">
        <v>111.79950675141063</v>
      </c>
      <c r="E29" s="20">
        <v>111.79950675141063</v>
      </c>
      <c r="F29" s="20">
        <v>111.79950675141063</v>
      </c>
      <c r="G29" s="20">
        <v>111.79950675141063</v>
      </c>
      <c r="H29" s="20">
        <v>111.79950675141063</v>
      </c>
      <c r="I29" s="20">
        <v>111.79950675141063</v>
      </c>
      <c r="J29" s="20">
        <v>111.79950675141063</v>
      </c>
      <c r="K29" s="20">
        <v>111.799506751412</v>
      </c>
      <c r="L29" s="20">
        <v>111.799506751412</v>
      </c>
      <c r="M29" s="20">
        <v>111.799506751412</v>
      </c>
      <c r="N29" s="10">
        <v>111.799506751411</v>
      </c>
      <c r="O29" s="20">
        <f t="shared" si="0"/>
        <v>111.79868460441956</v>
      </c>
      <c r="P29" s="21" t="s">
        <v>81</v>
      </c>
    </row>
    <row r="30" spans="1:16" ht="18.5" x14ac:dyDescent="0.25">
      <c r="A30" s="19" t="s">
        <v>82</v>
      </c>
      <c r="B30" s="22">
        <v>4.6931192137063755</v>
      </c>
      <c r="C30" s="20">
        <v>119.6345630481602</v>
      </c>
      <c r="D30" s="20">
        <v>120.19615793432162</v>
      </c>
      <c r="E30" s="20">
        <v>119.97353206158186</v>
      </c>
      <c r="F30" s="20">
        <v>119.40581645341109</v>
      </c>
      <c r="G30" s="20">
        <v>118.83619055640169</v>
      </c>
      <c r="H30" s="20">
        <v>118.59816629985193</v>
      </c>
      <c r="I30" s="20">
        <v>119.21046268528173</v>
      </c>
      <c r="J30" s="20">
        <v>119.57246812648017</v>
      </c>
      <c r="K30" s="20">
        <v>119.23333453689899</v>
      </c>
      <c r="L30" s="20">
        <v>119.461847003543</v>
      </c>
      <c r="M30" s="20">
        <v>119.487040519527</v>
      </c>
      <c r="N30" s="10">
        <v>119.859957152221</v>
      </c>
      <c r="O30" s="20">
        <f t="shared" si="0"/>
        <v>119.45579469814004</v>
      </c>
      <c r="P30" s="21" t="s">
        <v>83</v>
      </c>
    </row>
    <row r="31" spans="1:16" ht="18.5" x14ac:dyDescent="0.25">
      <c r="A31" s="13" t="s">
        <v>84</v>
      </c>
      <c r="B31" s="14">
        <v>4.9411666148404478</v>
      </c>
      <c r="C31" s="9">
        <v>107.72952306691457</v>
      </c>
      <c r="D31" s="9">
        <v>107.6747438066098</v>
      </c>
      <c r="E31" s="9">
        <v>107.48506062476844</v>
      </c>
      <c r="F31" s="9">
        <v>107.78212549943677</v>
      </c>
      <c r="G31" s="9">
        <v>107.76956260781446</v>
      </c>
      <c r="H31" s="9">
        <v>107.79630880858457</v>
      </c>
      <c r="I31" s="9">
        <v>107.78778799571711</v>
      </c>
      <c r="J31" s="9">
        <v>107.76577438239791</v>
      </c>
      <c r="K31" s="9">
        <v>107.916787665736</v>
      </c>
      <c r="L31" s="9">
        <v>108.035243444215</v>
      </c>
      <c r="M31" s="9">
        <v>107.82087641701</v>
      </c>
      <c r="N31" s="10">
        <v>107.62803494697</v>
      </c>
      <c r="O31" s="9">
        <f t="shared" si="0"/>
        <v>107.76598577218122</v>
      </c>
      <c r="P31" s="15" t="s">
        <v>85</v>
      </c>
    </row>
    <row r="32" spans="1:16" ht="18.5" x14ac:dyDescent="0.25">
      <c r="A32" s="19" t="s">
        <v>86</v>
      </c>
      <c r="B32" s="22">
        <v>1.0330333750990364</v>
      </c>
      <c r="C32" s="20">
        <v>108.16018589710725</v>
      </c>
      <c r="D32" s="20">
        <v>108.1398290760409</v>
      </c>
      <c r="E32" s="20">
        <v>108.13123146330241</v>
      </c>
      <c r="F32" s="20">
        <v>108.15083439317054</v>
      </c>
      <c r="G32" s="20">
        <v>108.12124482863291</v>
      </c>
      <c r="H32" s="20">
        <v>108.19961527245552</v>
      </c>
      <c r="I32" s="20">
        <v>108.16678943075004</v>
      </c>
      <c r="J32" s="20">
        <v>108.15135706352783</v>
      </c>
      <c r="K32" s="20">
        <v>108.14354034743199</v>
      </c>
      <c r="L32" s="20">
        <v>108.357694550918</v>
      </c>
      <c r="M32" s="20">
        <v>108.037177636465</v>
      </c>
      <c r="N32" s="10">
        <v>108.154921592164</v>
      </c>
      <c r="O32" s="20">
        <f t="shared" si="0"/>
        <v>108.15953512933054</v>
      </c>
      <c r="P32" s="21" t="s">
        <v>87</v>
      </c>
    </row>
    <row r="33" spans="1:16" ht="18.5" x14ac:dyDescent="0.25">
      <c r="A33" s="19" t="s">
        <v>88</v>
      </c>
      <c r="B33" s="22">
        <v>0.13142741000320171</v>
      </c>
      <c r="C33" s="20">
        <v>96.727731155707914</v>
      </c>
      <c r="D33" s="20">
        <v>96.703696162917325</v>
      </c>
      <c r="E33" s="20">
        <v>96.588956898130618</v>
      </c>
      <c r="F33" s="20">
        <v>96.428272888053925</v>
      </c>
      <c r="G33" s="20">
        <v>96.341323045068961</v>
      </c>
      <c r="H33" s="20">
        <v>96.366517651243782</v>
      </c>
      <c r="I33" s="20">
        <v>96.384361407245848</v>
      </c>
      <c r="J33" s="20">
        <v>96.384361407245848</v>
      </c>
      <c r="K33" s="20">
        <v>96.435594641096102</v>
      </c>
      <c r="L33" s="20">
        <v>96.589969731964402</v>
      </c>
      <c r="M33" s="20">
        <v>96.535962116599507</v>
      </c>
      <c r="N33" s="10">
        <v>96.671920780089295</v>
      </c>
      <c r="O33" s="20">
        <f t="shared" si="0"/>
        <v>96.513222323780283</v>
      </c>
      <c r="P33" s="21" t="s">
        <v>89</v>
      </c>
    </row>
    <row r="34" spans="1:16" s="12" customFormat="1" ht="18.5" x14ac:dyDescent="0.3">
      <c r="A34" s="19" t="s">
        <v>90</v>
      </c>
      <c r="B34" s="22">
        <v>0.85635095735426081</v>
      </c>
      <c r="C34" s="20">
        <v>102.0041037414248</v>
      </c>
      <c r="D34" s="20">
        <v>101.98708900387673</v>
      </c>
      <c r="E34" s="20">
        <v>101.33019893426898</v>
      </c>
      <c r="F34" s="20">
        <v>101.58692266373777</v>
      </c>
      <c r="G34" s="20">
        <v>101.46773601182576</v>
      </c>
      <c r="H34" s="20">
        <v>101.4868426916488</v>
      </c>
      <c r="I34" s="20">
        <v>101.48396930398602</v>
      </c>
      <c r="J34" s="20">
        <v>101.33825003244108</v>
      </c>
      <c r="K34" s="20">
        <v>101.311374870658</v>
      </c>
      <c r="L34" s="20">
        <v>100.938899132546</v>
      </c>
      <c r="M34" s="20">
        <v>100.14341995553001</v>
      </c>
      <c r="N34" s="10">
        <v>98.896473894835907</v>
      </c>
      <c r="O34" s="20">
        <f t="shared" si="0"/>
        <v>101.16460668639832</v>
      </c>
      <c r="P34" s="21" t="s">
        <v>91</v>
      </c>
    </row>
    <row r="35" spans="1:16" ht="18.5" x14ac:dyDescent="0.25">
      <c r="A35" s="19" t="s">
        <v>92</v>
      </c>
      <c r="B35" s="22">
        <v>0.34079079748102564</v>
      </c>
      <c r="C35" s="20">
        <v>100.78312389651514</v>
      </c>
      <c r="D35" s="20">
        <v>100.4296709038432</v>
      </c>
      <c r="E35" s="20">
        <v>99.509290832437443</v>
      </c>
      <c r="F35" s="20">
        <v>99.516814437824507</v>
      </c>
      <c r="G35" s="20">
        <v>99.716155096282307</v>
      </c>
      <c r="H35" s="20">
        <v>99.646902942207305</v>
      </c>
      <c r="I35" s="20">
        <v>99.492140134118841</v>
      </c>
      <c r="J35" s="20">
        <v>99.597257697545999</v>
      </c>
      <c r="K35" s="20">
        <v>99.736700929918797</v>
      </c>
      <c r="L35" s="20">
        <v>99.816326606536293</v>
      </c>
      <c r="M35" s="20">
        <v>99.402849799672595</v>
      </c>
      <c r="N35" s="10">
        <v>99.337281679122697</v>
      </c>
      <c r="O35" s="20">
        <f t="shared" si="0"/>
        <v>99.748709579668756</v>
      </c>
      <c r="P35" s="21" t="s">
        <v>93</v>
      </c>
    </row>
    <row r="36" spans="1:16" ht="18.5" x14ac:dyDescent="0.25">
      <c r="A36" s="19" t="s">
        <v>94</v>
      </c>
      <c r="B36" s="22">
        <v>2.5795640749029229</v>
      </c>
      <c r="C36" s="20">
        <v>111.10930424189478</v>
      </c>
      <c r="D36" s="20">
        <v>111.06856780302118</v>
      </c>
      <c r="E36" s="20">
        <v>111.0770525116841</v>
      </c>
      <c r="F36" s="20">
        <v>111.57233166037797</v>
      </c>
      <c r="G36" s="20">
        <v>111.57875995360303</v>
      </c>
      <c r="H36" s="20">
        <v>111.60120233965253</v>
      </c>
      <c r="I36" s="20">
        <v>111.62077950825656</v>
      </c>
      <c r="J36" s="20">
        <v>111.62115977605394</v>
      </c>
      <c r="K36" s="20">
        <v>111.910344897511</v>
      </c>
      <c r="L36" s="20">
        <v>112.17308339953</v>
      </c>
      <c r="M36" s="20">
        <v>112.238748659639</v>
      </c>
      <c r="N36" s="10">
        <v>112.273527043374</v>
      </c>
      <c r="O36" s="20">
        <f t="shared" si="0"/>
        <v>111.65373848288317</v>
      </c>
      <c r="P36" s="21" t="s">
        <v>95</v>
      </c>
    </row>
    <row r="37" spans="1:16" ht="18.5" x14ac:dyDescent="0.25">
      <c r="A37" s="13" t="s">
        <v>96</v>
      </c>
      <c r="B37" s="14">
        <v>3.9959330355627514</v>
      </c>
      <c r="C37" s="9">
        <v>112.49740770806049</v>
      </c>
      <c r="D37" s="9">
        <v>112.56977280892592</v>
      </c>
      <c r="E37" s="9">
        <v>112.5836112188598</v>
      </c>
      <c r="F37" s="9">
        <v>112.49408079859921</v>
      </c>
      <c r="G37" s="9">
        <v>112.82565845752666</v>
      </c>
      <c r="H37" s="9">
        <v>112.87371868521933</v>
      </c>
      <c r="I37" s="9">
        <v>112.88588165621084</v>
      </c>
      <c r="J37" s="9">
        <v>112.61125460361471</v>
      </c>
      <c r="K37" s="9">
        <v>112.611052722153</v>
      </c>
      <c r="L37" s="9">
        <v>112.932631063044</v>
      </c>
      <c r="M37" s="9">
        <v>112.925168789948</v>
      </c>
      <c r="N37" s="10">
        <v>112.990990377396</v>
      </c>
      <c r="O37" s="9">
        <f t="shared" si="0"/>
        <v>112.73343574079648</v>
      </c>
      <c r="P37" s="15" t="s">
        <v>97</v>
      </c>
    </row>
    <row r="38" spans="1:16" ht="18.5" x14ac:dyDescent="0.25">
      <c r="A38" s="13" t="s">
        <v>98</v>
      </c>
      <c r="B38" s="14">
        <v>15.983455889679336</v>
      </c>
      <c r="C38" s="9">
        <v>111.45455698144231</v>
      </c>
      <c r="D38" s="9">
        <v>112.02739716018399</v>
      </c>
      <c r="E38" s="9">
        <v>112.0377597333456</v>
      </c>
      <c r="F38" s="9">
        <v>111.21242225583785</v>
      </c>
      <c r="G38" s="9">
        <v>110.71266000239912</v>
      </c>
      <c r="H38" s="9">
        <v>110.59958731205475</v>
      </c>
      <c r="I38" s="9">
        <v>111.79636829752597</v>
      </c>
      <c r="J38" s="9">
        <v>111.53655435902472</v>
      </c>
      <c r="K38" s="9">
        <v>111.54180735342401</v>
      </c>
      <c r="L38" s="9">
        <v>111.733761000645</v>
      </c>
      <c r="M38" s="9">
        <v>111.495700376416</v>
      </c>
      <c r="N38" s="10">
        <v>111.849312613214</v>
      </c>
      <c r="O38" s="9">
        <f t="shared" si="0"/>
        <v>111.49982395379277</v>
      </c>
      <c r="P38" s="15" t="s">
        <v>99</v>
      </c>
    </row>
    <row r="39" spans="1:16" ht="18.5" x14ac:dyDescent="0.25">
      <c r="A39" s="13" t="s">
        <v>100</v>
      </c>
      <c r="B39" s="14">
        <v>2.8267656353025958</v>
      </c>
      <c r="C39" s="9">
        <v>103.53510350672235</v>
      </c>
      <c r="D39" s="9">
        <v>104.30778429787323</v>
      </c>
      <c r="E39" s="9">
        <v>104.24404785691196</v>
      </c>
      <c r="F39" s="9">
        <v>104.24108674999044</v>
      </c>
      <c r="G39" s="9">
        <v>104.24568713999102</v>
      </c>
      <c r="H39" s="9">
        <v>106.43837864954814</v>
      </c>
      <c r="I39" s="9">
        <v>106.43946128173894</v>
      </c>
      <c r="J39" s="9">
        <v>106.72937838145145</v>
      </c>
      <c r="K39" s="9">
        <v>106.71675678554099</v>
      </c>
      <c r="L39" s="9">
        <v>106.71675678554099</v>
      </c>
      <c r="M39" s="9">
        <v>106.71675678554099</v>
      </c>
      <c r="N39" s="10">
        <v>106.71633857082701</v>
      </c>
      <c r="O39" s="9">
        <f t="shared" si="0"/>
        <v>105.58729473263979</v>
      </c>
      <c r="P39" s="15" t="s">
        <v>101</v>
      </c>
    </row>
    <row r="40" spans="1:16" ht="18.5" x14ac:dyDescent="0.25">
      <c r="A40" s="13" t="s">
        <v>102</v>
      </c>
      <c r="B40" s="14">
        <v>2.550969312266385</v>
      </c>
      <c r="C40" s="9">
        <v>117.60722248066551</v>
      </c>
      <c r="D40" s="9">
        <v>118.02219229929921</v>
      </c>
      <c r="E40" s="9">
        <v>118.26646394893753</v>
      </c>
      <c r="F40" s="9">
        <v>118.18575662266832</v>
      </c>
      <c r="G40" s="9">
        <v>118.33921547487381</v>
      </c>
      <c r="H40" s="9">
        <v>118.15159209966377</v>
      </c>
      <c r="I40" s="9">
        <v>118.31729101075811</v>
      </c>
      <c r="J40" s="9">
        <v>118.54986145075026</v>
      </c>
      <c r="K40" s="9">
        <v>118.573338376414</v>
      </c>
      <c r="L40" s="9">
        <v>118.805902536622</v>
      </c>
      <c r="M40" s="9">
        <v>118.759775523407</v>
      </c>
      <c r="N40" s="10">
        <v>119.123004524169</v>
      </c>
      <c r="O40" s="9">
        <f t="shared" si="0"/>
        <v>118.39180136235238</v>
      </c>
      <c r="P40" s="15" t="s">
        <v>103</v>
      </c>
    </row>
    <row r="41" spans="1:16" ht="18.5" x14ac:dyDescent="0.25">
      <c r="A41" s="13" t="s">
        <v>104</v>
      </c>
      <c r="B41" s="14">
        <v>4.3496164914709023</v>
      </c>
      <c r="C41" s="9">
        <v>110.62376274642435</v>
      </c>
      <c r="D41" s="9">
        <v>110.62624658375124</v>
      </c>
      <c r="E41" s="9">
        <v>110.62633638895518</v>
      </c>
      <c r="F41" s="9">
        <v>110.69619528281613</v>
      </c>
      <c r="G41" s="9">
        <v>110.6310751402123</v>
      </c>
      <c r="H41" s="9">
        <v>110.6310751402123</v>
      </c>
      <c r="I41" s="9">
        <v>110.6310751402123</v>
      </c>
      <c r="J41" s="9">
        <v>110.62785778071188</v>
      </c>
      <c r="K41" s="9">
        <v>111.97184888317901</v>
      </c>
      <c r="L41" s="9">
        <v>113.68355331227001</v>
      </c>
      <c r="M41" s="9">
        <v>113.685068734805</v>
      </c>
      <c r="N41" s="10">
        <v>113.68506873480401</v>
      </c>
      <c r="O41" s="9">
        <f t="shared" si="0"/>
        <v>111.50993032236282</v>
      </c>
      <c r="P41" s="15" t="s">
        <v>105</v>
      </c>
    </row>
    <row r="42" spans="1:16" ht="18.5" x14ac:dyDescent="0.25">
      <c r="A42" s="13" t="s">
        <v>106</v>
      </c>
      <c r="B42" s="14">
        <v>1.7930366301755873</v>
      </c>
      <c r="C42" s="9">
        <v>119.15202008287041</v>
      </c>
      <c r="D42" s="9">
        <v>118.98905346774536</v>
      </c>
      <c r="E42" s="9">
        <v>119.000686550301</v>
      </c>
      <c r="F42" s="9">
        <v>117.99199324509476</v>
      </c>
      <c r="G42" s="9">
        <v>119.47160967210166</v>
      </c>
      <c r="H42" s="9">
        <v>119.48685651309196</v>
      </c>
      <c r="I42" s="9">
        <v>119.48296986929465</v>
      </c>
      <c r="J42" s="9">
        <v>119.48296986929465</v>
      </c>
      <c r="K42" s="9">
        <v>119.483843932851</v>
      </c>
      <c r="L42" s="9">
        <v>119.52866297942499</v>
      </c>
      <c r="M42" s="9">
        <v>119.528368648593</v>
      </c>
      <c r="N42" s="10">
        <v>119.505320579055</v>
      </c>
      <c r="O42" s="9">
        <f t="shared" si="0"/>
        <v>119.2586962841432</v>
      </c>
      <c r="P42" s="15" t="s">
        <v>107</v>
      </c>
    </row>
    <row r="43" spans="1:16" ht="18.5" x14ac:dyDescent="0.25">
      <c r="A43" s="13" t="s">
        <v>108</v>
      </c>
      <c r="B43" s="14">
        <v>4.7691242738851152</v>
      </c>
      <c r="C43" s="9">
        <v>112.22518787119525</v>
      </c>
      <c r="D43" s="9">
        <v>112.56193793225866</v>
      </c>
      <c r="E43" s="9">
        <v>113.02848880505701</v>
      </c>
      <c r="F43" s="9">
        <v>113.69348063091114</v>
      </c>
      <c r="G43" s="9">
        <v>113.70975661689027</v>
      </c>
      <c r="H43" s="9">
        <v>114.01013163664793</v>
      </c>
      <c r="I43" s="9">
        <v>114.07707273869748</v>
      </c>
      <c r="J43" s="9">
        <v>114.06636523711052</v>
      </c>
      <c r="K43" s="9">
        <v>114.65971282815001</v>
      </c>
      <c r="L43" s="9">
        <v>115.743730031181</v>
      </c>
      <c r="M43" s="9">
        <v>115.71235465386999</v>
      </c>
      <c r="N43" s="10">
        <v>116.07692869210599</v>
      </c>
      <c r="O43" s="9">
        <f t="shared" si="0"/>
        <v>114.1304289728396</v>
      </c>
      <c r="P43" s="15" t="s">
        <v>109</v>
      </c>
    </row>
    <row r="44" spans="1:16" ht="18.5" x14ac:dyDescent="0.25">
      <c r="A44" s="19" t="s">
        <v>110</v>
      </c>
      <c r="B44" s="22">
        <v>3.0148130492100575</v>
      </c>
      <c r="C44" s="20">
        <v>110.2333254578314</v>
      </c>
      <c r="D44" s="20">
        <v>110.25518090271895</v>
      </c>
      <c r="E44" s="20">
        <v>110.35427037823882</v>
      </c>
      <c r="F44" s="20">
        <v>110.40087176475349</v>
      </c>
      <c r="G44" s="20">
        <v>110.33576852024939</v>
      </c>
      <c r="H44" s="20">
        <v>110.60813352195328</v>
      </c>
      <c r="I44" s="20">
        <v>110.69245369775837</v>
      </c>
      <c r="J44" s="20">
        <v>110.6936436273816</v>
      </c>
      <c r="K44" s="20">
        <v>110.849792698781</v>
      </c>
      <c r="L44" s="20">
        <v>111.13139566317599</v>
      </c>
      <c r="M44" s="20">
        <v>111.168841996547</v>
      </c>
      <c r="N44" s="10">
        <v>111.19993044889</v>
      </c>
      <c r="O44" s="20">
        <f t="shared" si="0"/>
        <v>110.66030072318993</v>
      </c>
      <c r="P44" s="21" t="s">
        <v>111</v>
      </c>
    </row>
    <row r="45" spans="1:16" s="12" customFormat="1" ht="18.5" x14ac:dyDescent="0.3">
      <c r="A45" s="19" t="s">
        <v>112</v>
      </c>
      <c r="B45" s="22">
        <v>0.48332284219934601</v>
      </c>
      <c r="C45" s="20">
        <v>156.42983274470788</v>
      </c>
      <c r="D45" s="20">
        <v>160.92449551315912</v>
      </c>
      <c r="E45" s="20">
        <v>166.69168770727404</v>
      </c>
      <c r="F45" s="20">
        <v>176.16057576633412</v>
      </c>
      <c r="G45" s="20">
        <v>177.05985806220139</v>
      </c>
      <c r="H45" s="20">
        <v>178.95605379507012</v>
      </c>
      <c r="I45" s="20">
        <v>179.14200605789364</v>
      </c>
      <c r="J45" s="20">
        <v>178.96415834179464</v>
      </c>
      <c r="K45" s="20">
        <v>186.71575151688199</v>
      </c>
      <c r="L45" s="20">
        <v>201.38601369580201</v>
      </c>
      <c r="M45" s="20">
        <v>200.39343966584701</v>
      </c>
      <c r="N45" s="10">
        <v>206.22737980657701</v>
      </c>
      <c r="O45" s="20">
        <f t="shared" si="0"/>
        <v>180.75427105612857</v>
      </c>
      <c r="P45" s="21" t="s">
        <v>113</v>
      </c>
    </row>
    <row r="46" spans="1:16" ht="18.5" x14ac:dyDescent="0.25">
      <c r="A46" s="19" t="s">
        <v>114</v>
      </c>
      <c r="B46" s="22">
        <v>0.62132223239303075</v>
      </c>
      <c r="C46" s="20">
        <v>100.37981551817765</v>
      </c>
      <c r="D46" s="20">
        <v>100.37981551817765</v>
      </c>
      <c r="E46" s="20">
        <v>100.37981551817765</v>
      </c>
      <c r="F46" s="20">
        <v>100.37981551817765</v>
      </c>
      <c r="G46" s="20">
        <v>100.37981551817765</v>
      </c>
      <c r="H46" s="20">
        <v>100.37981551817765</v>
      </c>
      <c r="I46" s="20">
        <v>100.37981551817765</v>
      </c>
      <c r="J46" s="20">
        <v>100.37981551817765</v>
      </c>
      <c r="K46" s="20">
        <v>100.37981551817801</v>
      </c>
      <c r="L46" s="20">
        <v>100.37981551817801</v>
      </c>
      <c r="M46" s="20">
        <v>100.37981551817801</v>
      </c>
      <c r="N46" s="10">
        <v>100.379815518177</v>
      </c>
      <c r="O46" s="20">
        <f t="shared" si="0"/>
        <v>100.37981551817768</v>
      </c>
      <c r="P46" s="21" t="s">
        <v>115</v>
      </c>
    </row>
    <row r="47" spans="1:16" customFormat="1" ht="18.5" x14ac:dyDescent="0.25">
      <c r="A47" s="19" t="s">
        <v>116</v>
      </c>
      <c r="B47" s="22">
        <v>5.2719222472607671E-2</v>
      </c>
      <c r="C47" s="20">
        <v>105.8585858585982</v>
      </c>
      <c r="D47" s="20">
        <v>105.8585858585982</v>
      </c>
      <c r="E47" s="20">
        <v>105.8585858585982</v>
      </c>
      <c r="F47" s="20">
        <v>105.8585858585982</v>
      </c>
      <c r="G47" s="20">
        <v>105.8585858585982</v>
      </c>
      <c r="H47" s="20">
        <v>105.8585858585982</v>
      </c>
      <c r="I47" s="20">
        <v>105.8585858585982</v>
      </c>
      <c r="J47" s="20">
        <v>105.8585858585982</v>
      </c>
      <c r="K47" s="20">
        <v>105.858585858598</v>
      </c>
      <c r="L47" s="20">
        <v>105.858585858598</v>
      </c>
      <c r="M47" s="20">
        <v>105.858585858598</v>
      </c>
      <c r="N47" s="10">
        <v>105.858585858598</v>
      </c>
      <c r="O47" s="20">
        <f t="shared" si="0"/>
        <v>105.85858585859813</v>
      </c>
      <c r="P47" s="21" t="s">
        <v>117</v>
      </c>
    </row>
    <row r="48" spans="1:16" customFormat="1" ht="18.5" x14ac:dyDescent="0.25">
      <c r="A48" s="19" t="s">
        <v>118</v>
      </c>
      <c r="B48" s="22">
        <v>0.59694692761007184</v>
      </c>
      <c r="C48" s="20">
        <v>106.20125343410193</v>
      </c>
      <c r="D48" s="20">
        <v>106.20125343410193</v>
      </c>
      <c r="E48" s="20">
        <v>106.20125343410193</v>
      </c>
      <c r="F48" s="20">
        <v>106.20125343410193</v>
      </c>
      <c r="G48" s="20">
        <v>106.20125343410193</v>
      </c>
      <c r="H48" s="20">
        <v>106.20125343410193</v>
      </c>
      <c r="I48" s="20">
        <v>106.20125343410193</v>
      </c>
      <c r="J48" s="20">
        <v>106.20125343410193</v>
      </c>
      <c r="K48" s="20">
        <v>106.201253434102</v>
      </c>
      <c r="L48" s="20">
        <v>106.320646660297</v>
      </c>
      <c r="M48" s="20">
        <v>106.33478781605599</v>
      </c>
      <c r="N48" s="10">
        <v>106.386399243177</v>
      </c>
      <c r="O48" s="20">
        <f t="shared" si="0"/>
        <v>106.23775955220394</v>
      </c>
      <c r="P48" s="21" t="s">
        <v>119</v>
      </c>
    </row>
    <row r="49" spans="1:15" ht="21" x14ac:dyDescent="0.5">
      <c r="A49" s="23"/>
      <c r="O49" s="23"/>
    </row>
  </sheetData>
  <mergeCells count="4">
    <mergeCell ref="A1:P1"/>
    <mergeCell ref="A2:P2"/>
    <mergeCell ref="A3:A4"/>
    <mergeCell ref="P3:P4"/>
  </mergeCells>
  <pageMargins left="0.23622047199999999" right="0.511811023622047" top="0.98425196850393704" bottom="0.86614173228346503" header="0.511811023622047" footer="0.511811023622047"/>
  <pageSetup paperSize="9" scale="81" fitToHeight="0" orientation="landscape" verticalDpi="4294967295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</vt:lpstr>
      <vt:lpstr>'2025'!Print_Area</vt:lpstr>
      <vt:lpstr>'2025'!Print_Titles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</dc:title>
  <dc:creator>lama bnymelhem</dc:creator>
  <cp:lastModifiedBy>Abdullah Qamhawi</cp:lastModifiedBy>
  <dcterms:created xsi:type="dcterms:W3CDTF">2026-01-11T08:32:32Z</dcterms:created>
  <dcterms:modified xsi:type="dcterms:W3CDTF">2026-01-31T16:27:32Z</dcterms:modified>
</cp:coreProperties>
</file>